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b660184e1cc24f9/Documents/HPO Package Builder/HPO Package Builder/Assets/"/>
    </mc:Choice>
  </mc:AlternateContent>
  <xr:revisionPtr revIDLastSave="3" documentId="8_{00FE63B9-7D91-472D-94BD-6B7DE5CE31A2}" xr6:coauthVersionLast="47" xr6:coauthVersionMax="47" xr10:uidLastSave="{A200CC61-5CC9-483D-81C1-3114603A12EF}"/>
  <bookViews>
    <workbookView xWindow="2220" yWindow="1440" windowWidth="21600" windowHeight="11175" xr2:uid="{07BCF5F9-D099-4B85-9F5E-BECE4C501D29}"/>
  </bookViews>
  <sheets>
    <sheet name="HPO Dates" sheetId="1" r:id="rId1"/>
  </sheets>
  <definedNames>
    <definedName name="UniverseDemoRateSele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<sst xmlns="http://schemas.openxmlformats.org/spreadsheetml/2006/main" count="17" uniqueCount="17">
  <si>
    <t>HPO</t>
  </si>
  <si>
    <t>Live Start</t>
  </si>
  <si>
    <t>Live End</t>
  </si>
  <si>
    <t>Live Range</t>
  </si>
  <si>
    <t>Support Start</t>
  </si>
  <si>
    <t>Support End</t>
  </si>
  <si>
    <t>Support Range</t>
  </si>
  <si>
    <t>NBA Playoffs - 2026</t>
  </si>
  <si>
    <t>NHL Playoffs - 2026</t>
  </si>
  <si>
    <t>Men's March Madness - 2026</t>
  </si>
  <si>
    <t>Women's March Madness - 2026</t>
  </si>
  <si>
    <t>World Cup - 2026</t>
  </si>
  <si>
    <t>MLB Regular Season - 2026</t>
  </si>
  <si>
    <t>MLB Playoffs - 2026</t>
  </si>
  <si>
    <t>NFL - 2026-2027</t>
  </si>
  <si>
    <t>College Football - 2026-2027</t>
  </si>
  <si>
    <t>College Football Playoffs - 2026-2027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</si>
</sst>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b val="0"/>
        <family val="2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family val="2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family val="2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</border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8C1E6-EA37-4EA7-AF67-4F977EB9E25A}" name="Table3" displayName="Table3" ref="A1:G11" totalsRowShown="0" headerRowDxfId="11" dataDxfId="9" headerRowBorderDxfId="10" tableBorderDxfId="8" totalsRowBorderDxfId="7">
  <autoFilter ref="A1:G11" xr:uid="{FF59B956-AE2C-4C34-BB7E-C4D9237C9E2B}"/>
  <tableColumns count="7">
    <tableColumn id="1" xr3:uid="{9CAEAA32-909D-411D-BC6C-D1AA64B78951}" name="HPO" dataDxfId="6"/>
    <tableColumn id="2" xr3:uid="{265729A8-AB94-4D72-890C-225BB274DE06}" name="Live Start" dataDxfId="5"/>
    <tableColumn id="4" xr3:uid="{04624F59-3AEF-4501-9E98-B2B748993F5F}" name="Live End" dataDxfId="4"/>
    <tableColumn id="3" xr3:uid="{68D3CDD6-EAD1-4F60-9D3E-E0D188B2BBB4}" name="Live Range" dataDxfId="3">
      <calculatedColumnFormula>TEXT(Table3[[#This Row],[Live Start]],"mm/dd/yyyy") &amp; " - " &amp; TEXT(Table3[[#This Row],[Live End]],"mm/dd/yyyy")</calculatedColumnFormula>
    </tableColumn>
    <tableColumn id="5" xr3:uid="{79F38DE5-1D0D-4081-A34D-8653AA7D1ED7}" name="Support Start" dataDxfId="2"/>
    <tableColumn id="6" xr3:uid="{1834FF2B-ECE2-4A03-8D46-648798472518}" name="Support End" dataDxfId="1"/>
    <tableColumn id="7" xr3:uid="{3437EA18-7BDD-454C-9220-411C391BA8F6}" name="Support Range" dataDxfId="0">
      <calculatedColumnFormula>TEXT(Table3[[#This Row],[Support Start]],"mm/dd/yyyy") &amp; " - " &amp; TEXT(Table3[[#This Row],[Support End]],"mm/dd/yyyy")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E0EA-0CA0-426E-B3FD-57555190B670}">
  <dimension ref="A1:G11"/>
  <sheetViews>
    <sheetView tabSelected="1" workbookViewId="0">
      <selection activeCell="A2" sqref="A2:A11"/>
    </sheetView>
  </sheetViews>
  <sheetFormatPr defaultColWidth="9.140625" defaultRowHeight="15" x14ac:dyDescent="0.25"/>
  <cols>
    <col min="1" max="1" width="34.140625" style="4" bestFit="1" customWidth="1"/>
    <col min="2" max="3" width="14.5703125" style="4" customWidth="1"/>
    <col min="4" max="4" width="21.85546875" style="4" customWidth="1"/>
    <col min="5" max="6" width="14.5703125" style="4" customWidth="1"/>
    <col min="7" max="7" width="21.85546875" style="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4" t="s">
        <v>7</v>
      </c>
      <c r="B2" s="3">
        <v>46127</v>
      </c>
      <c r="C2" s="3">
        <v>46175</v>
      </c>
      <c r="D2" s="4" t="str">
        <f>TEXT(Table3[[#This Row],[Live Start]],"mm/dd/yyyy") &amp; " - " &amp; TEXT(Table3[[#This Row],[Live End]],"mm/dd/yyyy")</f>
        <v>04/15/2026 - 06/02/2026</v>
      </c>
      <c r="E2" s="3">
        <v>46130</v>
      </c>
      <c r="F2" s="3">
        <v>46194</v>
      </c>
      <c r="G2" s="4" t="str">
        <f>TEXT(Table3[[#This Row],[Support Start]],"mm/dd/yyyy") &amp; " - " &amp; TEXT(Table3[[#This Row],[Support End]],"mm/dd/yyyy")</f>
        <v>04/18/2026 - 06/21/2026</v>
      </c>
    </row>
    <row r="3" spans="1:7" x14ac:dyDescent="0.25">
      <c r="A3" s="4" t="s">
        <v>8</v>
      </c>
      <c r="B3" s="3">
        <v>46131</v>
      </c>
      <c r="C3" s="3">
        <v>46196</v>
      </c>
      <c r="D3" s="4" t="str">
        <f>TEXT(Table3[[#This Row],[Live Start]],"mm/dd/yyyy") &amp; " - " &amp; TEXT(Table3[[#This Row],[Live End]],"mm/dd/yyyy")</f>
        <v>04/19/2026 - 06/23/2026</v>
      </c>
      <c r="E3" s="3">
        <v>46130</v>
      </c>
      <c r="F3" s="3">
        <v>46192</v>
      </c>
      <c r="G3" s="4" t="str">
        <f>TEXT(Table3[[#This Row],[Support Start]],"mm/dd/yyyy") &amp; " - " &amp; TEXT(Table3[[#This Row],[Support End]],"mm/dd/yyyy")</f>
        <v>04/18/2026 - 06/19/2026</v>
      </c>
    </row>
    <row r="4" spans="1:7" x14ac:dyDescent="0.25">
      <c r="A4" s="4" t="s">
        <v>9</v>
      </c>
      <c r="B4" s="3">
        <v>46098</v>
      </c>
      <c r="C4" s="3">
        <v>46118</v>
      </c>
      <c r="D4" s="4" t="str">
        <f>TEXT(Table3[[#This Row],[Live Start]],"mm/dd/yyyy") &amp; " - " &amp; TEXT(Table3[[#This Row],[Live End]],"mm/dd/yyyy")</f>
        <v>03/17/2026 - 04/06/2026</v>
      </c>
      <c r="E4" s="3">
        <v>46097</v>
      </c>
      <c r="F4" s="3">
        <v>46118</v>
      </c>
      <c r="G4" s="4" t="str">
        <f>TEXT(Table3[[#This Row],[Support Start]],"mm/dd/yyyy") &amp; " - " &amp; TEXT(Table3[[#This Row],[Support End]],"mm/dd/yyyy")</f>
        <v>03/16/2026 - 04/06/2026</v>
      </c>
    </row>
    <row r="5" spans="1:7" x14ac:dyDescent="0.25">
      <c r="A5" s="4" t="s">
        <v>10</v>
      </c>
      <c r="B5" s="3">
        <v>46099</v>
      </c>
      <c r="C5" s="3">
        <v>46117</v>
      </c>
      <c r="D5" s="4" t="str">
        <f>TEXT(Table3[[#This Row],[Live Start]],"mm/dd/yyyy") &amp; " - " &amp; TEXT(Table3[[#This Row],[Live End]],"mm/dd/yyyy")</f>
        <v>03/18/2026 - 04/05/2026</v>
      </c>
      <c r="E5" s="3">
        <v>46096</v>
      </c>
      <c r="F5" s="3">
        <v>46117</v>
      </c>
      <c r="G5" s="4" t="str">
        <f>TEXT(Table3[[#This Row],[Support Start]],"mm/dd/yyyy") &amp; " - " &amp; TEXT(Table3[[#This Row],[Support End]],"mm/dd/yyyy")</f>
        <v>03/15/2026 - 04/05/2026</v>
      </c>
    </row>
    <row r="6" spans="1:7" x14ac:dyDescent="0.25">
      <c r="A6" s="4" t="s">
        <v>11</v>
      </c>
      <c r="B6" s="3">
        <v>46184</v>
      </c>
      <c r="C6" s="3">
        <v>46205</v>
      </c>
      <c r="D6" s="4" t="str">
        <f>TEXT(Table3[[#This Row],[Live Start]],"mm/dd/yyyy") &amp; " - " &amp; TEXT(Table3[[#This Row],[Live End]],"mm/dd/yyyy")</f>
        <v>06/11/2026 - 07/02/2026</v>
      </c>
      <c r="E6" s="3">
        <v>46184</v>
      </c>
      <c r="F6" s="3">
        <v>46222</v>
      </c>
      <c r="G6" s="4" t="str">
        <f>TEXT(Table3[[#This Row],[Support Start]],"mm/dd/yyyy") &amp; " - " &amp; TEXT(Table3[[#This Row],[Support End]],"mm/dd/yyyy")</f>
        <v>06/11/2026 - 07/19/2026</v>
      </c>
    </row>
    <row r="7" spans="1:7" x14ac:dyDescent="0.25">
      <c r="A7" s="4" t="s">
        <v>12</v>
      </c>
      <c r="B7" s="3">
        <v>46106</v>
      </c>
      <c r="C7" s="3">
        <v>46292</v>
      </c>
      <c r="D7" s="4" t="str">
        <f>TEXT(Table3[[#This Row],[Live Start]],"mm/dd/yyyy") &amp; " - " &amp; TEXT(Table3[[#This Row],[Live End]],"mm/dd/yyyy")</f>
        <v>03/25/2026 - 09/27/2026</v>
      </c>
      <c r="E7" s="3">
        <v>46086</v>
      </c>
      <c r="F7" s="3">
        <v>46292</v>
      </c>
      <c r="G7" s="4" t="str">
        <f>TEXT(Table3[[#This Row],[Support Start]],"mm/dd/yyyy") &amp; " - " &amp; TEXT(Table3[[#This Row],[Support End]],"mm/dd/yyyy")</f>
        <v>03/05/2026 - 09/27/2026</v>
      </c>
    </row>
    <row r="8" spans="1:7" x14ac:dyDescent="0.25">
      <c r="A8" s="4" t="s">
        <v>13</v>
      </c>
      <c r="B8" s="3">
        <v>46294</v>
      </c>
      <c r="C8" s="3">
        <v>46317</v>
      </c>
      <c r="D8" s="4" t="str">
        <f>TEXT(Table3[[#This Row],[Live Start]],"mm/dd/yyyy") &amp; " - " &amp; TEXT(Table3[[#This Row],[Live End]],"mm/dd/yyyy")</f>
        <v>09/29/2026 - 10/22/2026</v>
      </c>
      <c r="E8" s="3">
        <v>46295</v>
      </c>
      <c r="F8" s="3">
        <v>46327</v>
      </c>
      <c r="G8" s="4" t="str">
        <f>TEXT(Table3[[#This Row],[Support Start]],"mm/dd/yyyy") &amp; " - " &amp; TEXT(Table3[[#This Row],[Support End]],"mm/dd/yyyy")</f>
        <v>09/30/2026 - 11/01/2026</v>
      </c>
    </row>
    <row r="9" spans="1:7" x14ac:dyDescent="0.25">
      <c r="A9" s="4" t="s">
        <v>14</v>
      </c>
      <c r="B9" s="3">
        <v>46275</v>
      </c>
      <c r="C9" s="3">
        <v>46397</v>
      </c>
      <c r="D9" s="4" t="str">
        <f>TEXT(Table3[[#This Row],[Live Start]],"mm/dd/yyyy") &amp; " - " &amp; TEXT(Table3[[#This Row],[Live End]],"mm/dd/yyyy")</f>
        <v>09/10/2026 - 01/10/2027</v>
      </c>
      <c r="E9" s="3">
        <v>46248</v>
      </c>
      <c r="F9" s="3">
        <v>46067</v>
      </c>
      <c r="G9" s="4" t="str">
        <f>TEXT(Table3[[#This Row],[Support Start]],"mm/dd/yyyy") &amp; " - " &amp; TEXT(Table3[[#This Row],[Support End]],"mm/dd/yyyy")</f>
        <v>08/14/2026 - 02/14/2026</v>
      </c>
    </row>
    <row r="10" spans="1:7" x14ac:dyDescent="0.25">
      <c r="A10" s="4" t="s">
        <v>15</v>
      </c>
      <c r="B10" s="3">
        <v>46263</v>
      </c>
      <c r="C10" s="3">
        <v>46389</v>
      </c>
      <c r="D10" s="4" t="str">
        <f>TEXT(Table3[[#This Row],[Live Start]],"mm/dd/yyyy") &amp; " - " &amp; TEXT(Table3[[#This Row],[Live End]],"mm/dd/yyyy")</f>
        <v>08/29/2026 - 01/02/2027</v>
      </c>
      <c r="E10" s="3">
        <v>46263</v>
      </c>
      <c r="F10" s="3">
        <v>46389</v>
      </c>
      <c r="G10" s="4" t="str">
        <f>TEXT(Table3[[#This Row],[Support Start]],"mm/dd/yyyy") &amp; " - " &amp; TEXT(Table3[[#This Row],[Support End]],"mm/dd/yyyy")</f>
        <v>08/29/2026 - 01/02/2027</v>
      </c>
    </row>
    <row r="11" spans="1:7" x14ac:dyDescent="0.25">
      <c r="A11" s="4" t="s">
        <v>16</v>
      </c>
      <c r="B11" s="3">
        <v>46374</v>
      </c>
      <c r="C11" s="3">
        <v>46412</v>
      </c>
      <c r="D11" s="4" t="str">
        <f>TEXT(Table3[[#This Row],[Live Start]],"mm/dd/yyyy") &amp; " - " &amp; TEXT(Table3[[#This Row],[Live End]],"mm/dd/yyyy")</f>
        <v>12/18/2026 - 01/25/2027</v>
      </c>
      <c r="E11" s="3">
        <v>46362</v>
      </c>
      <c r="F11" s="3">
        <v>46412</v>
      </c>
      <c r="G11" s="4" t="str">
        <f>TEXT(Table3[[#This Row],[Support Start]],"mm/dd/yyyy") &amp; " - " &amp; TEXT(Table3[[#This Row],[Support End]],"mm/dd/yyyy")</f>
        <v>12/06/2026 - 01/25/2027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Sparkman, Zach E</dc:creator>
  <cp:lastModifiedBy>Zach Sparkman</cp:lastModifiedBy>
  <dcterms:created xsi:type="dcterms:W3CDTF">2026-03-11T03:14:24Z</dcterms:created>
  <dcterms:modified xsi:type="dcterms:W3CDTF">2026-03-11T06:05:02Z</dcterms:modified>
</cp:coreProperties>
</file>